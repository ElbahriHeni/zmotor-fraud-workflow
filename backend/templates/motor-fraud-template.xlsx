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er3sa-my.sharepoint.com/personal/m_elbahri_arabianshield_com/Documents/Desktop/Projects/Fraud/"/>
    </mc:Choice>
  </mc:AlternateContent>
  <xr:revisionPtr revIDLastSave="3" documentId="14_{DF61986F-296F-4548-964E-FDF9ADB45705}" xr6:coauthVersionLast="47" xr6:coauthVersionMax="47" xr10:uidLastSave="{6E96CF81-A2CA-4219-9157-536A8CB325D3}"/>
  <bookViews>
    <workbookView xWindow="-108" yWindow="-108" windowWidth="23256" windowHeight="13896" xr2:uid="{00000000-000D-0000-FFFF-FFFF00000000}"/>
  </bookViews>
  <sheets>
    <sheet name="معلق تصعيد" sheetId="5" r:id="rId1"/>
    <sheet name="Sheet1" sheetId="7" r:id="rId2"/>
  </sheets>
  <definedNames>
    <definedName name="_xlnm._FilterDatabase" localSheetId="0" hidden="1">'معلق تصعيد'!$A$1:$N$2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5" l="1"/>
  <c r="Q2" i="5"/>
  <c r="L2" i="5"/>
</calcChain>
</file>

<file path=xl/sharedStrings.xml><?xml version="1.0" encoding="utf-8"?>
<sst xmlns="http://schemas.openxmlformats.org/spreadsheetml/2006/main" count="103" uniqueCount="75">
  <si>
    <t>الإجراء</t>
  </si>
  <si>
    <t>اسم الموظف</t>
  </si>
  <si>
    <t>تم التثبيت مواد مخالفة</t>
  </si>
  <si>
    <t>تم التعليق</t>
  </si>
  <si>
    <t>تم التثبيت احتيال</t>
  </si>
  <si>
    <t xml:space="preserve">لايوجد ملاحظات </t>
  </si>
  <si>
    <t>مرفوضة</t>
  </si>
  <si>
    <t>نواقص</t>
  </si>
  <si>
    <t>تاريخ الاستلام</t>
  </si>
  <si>
    <t>مدفوعه</t>
  </si>
  <si>
    <t>الحالة غير مدرجة - نجم</t>
  </si>
  <si>
    <t>تم التصحيح لايوجد ملاحظات</t>
  </si>
  <si>
    <t>مدفوعة تم التصعيد مع الجهة المشرعة بالتحقيق</t>
  </si>
  <si>
    <t xml:space="preserve">تم الإلزام من اللجان بعد التثبيت احتيال </t>
  </si>
  <si>
    <t>ملغاه</t>
  </si>
  <si>
    <t>تم التثبيت احتيال مدفوعة</t>
  </si>
  <si>
    <t xml:space="preserve">بأنتظار فتح مطالبة </t>
  </si>
  <si>
    <t>تم تعديل النسبة بعد الاعتراض</t>
  </si>
  <si>
    <t>مصدر المؤشر</t>
  </si>
  <si>
    <t>المؤشر الرئيسي</t>
  </si>
  <si>
    <t>المؤشر الفرعي</t>
  </si>
  <si>
    <t>تصنيف المؤشر</t>
  </si>
  <si>
    <t>منخفض</t>
  </si>
  <si>
    <t>متوسط</t>
  </si>
  <si>
    <t>عالي</t>
  </si>
  <si>
    <t>المبلغ الاحتياطي</t>
  </si>
  <si>
    <t>رقم الحادث</t>
  </si>
  <si>
    <t>نوع المطالبة</t>
  </si>
  <si>
    <t>رقم المطالبة</t>
  </si>
  <si>
    <t>الإبلاغ عن الحادث بعد شراء وثيقة التأمين خلال الأيام الأولى مع وجود انقطاع في التأمين ويقترن مع مؤشرات أخرى.</t>
  </si>
  <si>
    <t>عدم الإبلاغ عن الحادث في الوقت النظامي مع عدم وجود مبررات مقنعة.</t>
  </si>
  <si>
    <t>وجود مطالبة سابقة مرفوضة لنفس الأشخاص والمركبات والأضرار.</t>
  </si>
  <si>
    <t>الإبلاغ عن الحادث في أوقات متأخرة ليلاً في أماكن غير مأهولة أو محافظات صغيرة أو مناطق نائية ويقترن مع مؤشرات أخرى.</t>
  </si>
  <si>
    <t>ادعاء أحد أطراف الحادث على طرف آخر بأنه قام باستبدال السائق من خلال الإفادة الكتابية.</t>
  </si>
  <si>
    <t>وجود علاقة بين أطراف الحادث تثير الشبهة وتقترن بمؤشرات أخرى.</t>
  </si>
  <si>
    <t>عدم تطابق الإفادة المقدمة من الأطراف بشكل جوهري أو تقديم عدة إفادات متناقضة لمعاين الحادث.</t>
  </si>
  <si>
    <t>تغيير وقائع الحادث الفعلية لجعل نسبة المسؤولية على طرف معطي تأمين.</t>
  </si>
  <si>
    <t>ارتفاع معدل الحوادث لدى أحد الأطراف خلال السنة التأمينية ويقترن مع مؤشرات أخرى.</t>
  </si>
  <si>
    <t>تكرار الحوادث بنفس الكيفية من أحد الأطراف.</t>
  </si>
  <si>
    <t>ارتفاع معدل الحوادث على مركبة مؤمنة وتكرار الحوادث بنفس الكيفية خلال مدة زمنية قصيرة، بالرغم من انتقال ملكيتها لمالك آخرين.</t>
  </si>
  <si>
    <t>وقوع الحادث على مركبة واحدة مؤمنة تأمين شامل بالرغم من أن المكان خال من المركبات أو منعزل، دون وجود أسباب منطقية تبرر الاصطدام بالجسم الثابت.</t>
  </si>
  <si>
    <t>عدم تطابق مستوى ارتفاع الأضرار بين المركبات.</t>
  </si>
  <si>
    <t>عدم تطابق انتقال الألوان بين المركبتين المتضررتين أو بين المركبة والجسم الثابت.</t>
  </si>
  <si>
    <t>عدم تطابق جسامة الأضرار على المركبة المتضررة مع الأضرار على المركبة المتسببة.</t>
  </si>
  <si>
    <t>اختلاف شكل الضرر كلياً من خلال وقوع الحادث وموقعه.</t>
  </si>
  <si>
    <t>وجود آثار تدل على أن الضرر في المركبة قديم مثل وجود أتربة.</t>
  </si>
  <si>
    <t>وجود آثار صدأ على الأجزاء المتضررة في المركبات.</t>
  </si>
  <si>
    <t>في حال وجود تقديرات للمركبة بمبالغ عالية في حوادث التلفيات البسيطة مقترنة بمؤشرات أخرى.</t>
  </si>
  <si>
    <t>عدم وجود آثار تلفيات على المركبات في موقع الحادث، على الرغم من جسامة الأضرار التي لحقت بها، مما يشير إلى إخفاء حقائق جوهرية من قبل أطراف الحادث.</t>
  </si>
  <si>
    <t>الآثار الموجودة في موقع الحادث لا تتناسب مع حجم التلفيات الناتجة عنه، ويشتبه في وضعها من قبل أطراف الحادث بهدف إيهام مباشر الحادث بصحة وقوعه.</t>
  </si>
  <si>
    <t>الأضرار قديمة</t>
  </si>
  <si>
    <t>المركبات</t>
  </si>
  <si>
    <t>أطراف الحادث</t>
  </si>
  <si>
    <t>وقت وقوع الحادث</t>
  </si>
  <si>
    <t>التكاليف الباهظة</t>
  </si>
  <si>
    <t>موقع الحادث</t>
  </si>
  <si>
    <t>الآثار في موقع الحادث</t>
  </si>
  <si>
    <t>تم التثبيت احتيال استرداد مع القانونية</t>
  </si>
  <si>
    <t>تم التثبيت احتيال استرداد العمليات</t>
  </si>
  <si>
    <t>تاريخ التعليق</t>
  </si>
  <si>
    <t>حاسبة الايام</t>
  </si>
  <si>
    <t>الجهة الإدارية</t>
  </si>
  <si>
    <t>تاريخ استلام الاعتراض</t>
  </si>
  <si>
    <t>RD180626481</t>
  </si>
  <si>
    <t>Third Party(TP)</t>
  </si>
  <si>
    <t>نجم</t>
  </si>
  <si>
    <t>عبدالمحسن</t>
  </si>
  <si>
    <t xml:space="preserve">قائد المركبة </t>
  </si>
  <si>
    <t>كيفية وقوع الحادث</t>
  </si>
  <si>
    <t>عدم تطابق</t>
  </si>
  <si>
    <t>- ارتفاع معدل الحوادث لدى أحد الأطراف خلال السنة التأمينية ويقترن مع مؤشرات أخرى.</t>
  </si>
  <si>
    <t xml:space="preserve">تاريخ التصعيد الثاني </t>
  </si>
  <si>
    <t xml:space="preserve">تاريخ التصعيد الاول </t>
  </si>
  <si>
    <t xml:space="preserve">رقم  المعاملة  </t>
  </si>
  <si>
    <t>C/CRO1/2026/CV/0000920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</si>
</sst>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 * #,##0.00_ ;_ * \-#,##0.00_ ;_ * &quot;-&quot;??_ ;_ @_ "/>
    <numFmt numFmtId="166" formatCode="dd/mm/yyyy;@"/>
  </numFmts>
  <fonts count="15" x14ac:knownFonts="1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FFFFFF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8C7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rgb="FF808080"/>
      </left>
      <right style="medium">
        <color rgb="FF808080"/>
      </right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4" fillId="0" borderId="0" applyNumberFormat="0" applyBorder="0" applyProtection="0"/>
    <xf numFmtId="0" fontId="3" fillId="0" borderId="0"/>
    <xf numFmtId="165" fontId="2" fillId="0" borderId="0" applyFont="0" applyFill="0" applyBorder="0" applyAlignment="0" applyProtection="0"/>
  </cellStyleXfs>
  <cellXfs count="52">
    <xf numFmtId="0" fontId="0" fillId="0" borderId="0" xfId="0"/>
    <xf numFmtId="0" fontId="1" fillId="0" borderId="2" xfId="0" applyFont="1" applyBorder="1" applyAlignment="1" applyProtection="1">
      <alignment horizontal="center" vertical="center" readingOrder="1"/>
      <protection locked="0"/>
    </xf>
    <xf numFmtId="0" fontId="5" fillId="2" borderId="1" xfId="0" applyFont="1" applyFill="1" applyBorder="1" applyAlignment="1" applyProtection="1">
      <alignment horizontal="center" vertical="center" readingOrder="1"/>
      <protection locked="0"/>
    </xf>
    <xf numFmtId="166" fontId="6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 readingOrder="1"/>
      <protection locked="0"/>
    </xf>
    <xf numFmtId="166" fontId="7" fillId="3" borderId="1" xfId="0" applyNumberFormat="1" applyFont="1" applyFill="1" applyBorder="1" applyAlignment="1">
      <alignment horizontal="center" vertical="center"/>
    </xf>
    <xf numFmtId="164" fontId="5" fillId="2" borderId="1" xfId="1" applyFont="1" applyFill="1" applyBorder="1" applyAlignment="1" applyProtection="1">
      <alignment horizontal="center" vertical="center" readingOrder="1"/>
      <protection locked="0"/>
    </xf>
    <xf numFmtId="0" fontId="10" fillId="9" borderId="3" xfId="0" applyFont="1" applyFill="1" applyBorder="1" applyAlignment="1">
      <alignment horizontal="center" vertical="center" wrapText="1" readingOrder="2"/>
    </xf>
    <xf numFmtId="2" fontId="5" fillId="2" borderId="1" xfId="1" applyNumberFormat="1" applyFont="1" applyFill="1" applyBorder="1" applyAlignment="1" applyProtection="1">
      <alignment horizontal="center" vertical="center" readingOrder="1"/>
      <protection locked="0"/>
    </xf>
    <xf numFmtId="2" fontId="1" fillId="3" borderId="1" xfId="1" applyNumberFormat="1" applyFont="1" applyFill="1" applyBorder="1" applyAlignment="1" applyProtection="1">
      <alignment horizontal="center" vertical="center" readingOrder="1"/>
      <protection locked="0"/>
    </xf>
    <xf numFmtId="0" fontId="6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 readingOrder="1"/>
      <protection locked="0"/>
    </xf>
    <xf numFmtId="14" fontId="6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6" fillId="3" borderId="6" xfId="0" applyFont="1" applyFill="1" applyBorder="1" applyAlignment="1">
      <alignment horizontal="center" vertical="center"/>
    </xf>
    <xf numFmtId="166" fontId="6" fillId="3" borderId="2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readingOrder="2"/>
    </xf>
    <xf numFmtId="0" fontId="10" fillId="4" borderId="3" xfId="0" applyFont="1" applyFill="1" applyBorder="1" applyAlignment="1">
      <alignment horizontal="center" vertical="center" readingOrder="2"/>
    </xf>
    <xf numFmtId="0" fontId="10" fillId="10" borderId="3" xfId="0" applyFont="1" applyFill="1" applyBorder="1" applyAlignment="1">
      <alignment horizontal="center" vertical="center" readingOrder="2"/>
    </xf>
    <xf numFmtId="0" fontId="10" fillId="7" borderId="3" xfId="0" applyFont="1" applyFill="1" applyBorder="1" applyAlignment="1">
      <alignment horizontal="center" vertical="center" readingOrder="2"/>
    </xf>
    <xf numFmtId="0" fontId="10" fillId="8" borderId="3" xfId="0" applyFont="1" applyFill="1" applyBorder="1" applyAlignment="1">
      <alignment horizontal="center" vertical="center" readingOrder="2"/>
    </xf>
    <xf numFmtId="0" fontId="10" fillId="3" borderId="3" xfId="0" applyFont="1" applyFill="1" applyBorder="1" applyAlignment="1">
      <alignment horizontal="center" vertical="center" readingOrder="2"/>
    </xf>
    <xf numFmtId="0" fontId="10" fillId="5" borderId="3" xfId="0" applyFont="1" applyFill="1" applyBorder="1" applyAlignment="1">
      <alignment horizontal="center" vertical="center" readingOrder="2"/>
    </xf>
    <xf numFmtId="0" fontId="10" fillId="8" borderId="3" xfId="0" applyFont="1" applyFill="1" applyBorder="1" applyAlignment="1">
      <alignment horizontal="center" vertical="center" wrapText="1" readingOrder="2"/>
    </xf>
    <xf numFmtId="0" fontId="10" fillId="5" borderId="3" xfId="0" applyFont="1" applyFill="1" applyBorder="1" applyAlignment="1">
      <alignment horizontal="center" vertical="center" wrapText="1" readingOrder="2"/>
    </xf>
    <xf numFmtId="0" fontId="10" fillId="7" borderId="3" xfId="0" applyFont="1" applyFill="1" applyBorder="1" applyAlignment="1">
      <alignment horizontal="center" vertical="center" wrapText="1" readingOrder="2"/>
    </xf>
    <xf numFmtId="0" fontId="10" fillId="10" borderId="3" xfId="0" applyFont="1" applyFill="1" applyBorder="1" applyAlignment="1">
      <alignment horizontal="center" vertical="center" wrapText="1" readingOrder="2"/>
    </xf>
    <xf numFmtId="166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/>
    </xf>
    <xf numFmtId="1" fontId="0" fillId="3" borderId="2" xfId="0" applyNumberFormat="1" applyFill="1" applyBorder="1"/>
    <xf numFmtId="1" fontId="6" fillId="3" borderId="1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 applyProtection="1">
      <alignment horizontal="center" vertical="center" readingOrder="1"/>
      <protection locked="0"/>
    </xf>
    <xf numFmtId="0" fontId="14" fillId="3" borderId="1" xfId="0" applyFont="1" applyFill="1" applyBorder="1" applyAlignment="1" applyProtection="1">
      <alignment horizontal="center" vertical="center" readingOrder="1"/>
      <protection locked="0"/>
    </xf>
    <xf numFmtId="1" fontId="13" fillId="2" borderId="7" xfId="0" applyNumberFormat="1" applyFont="1" applyFill="1" applyBorder="1" applyAlignment="1" applyProtection="1">
      <alignment horizontal="center" vertical="center" readingOrder="1"/>
      <protection locked="0"/>
    </xf>
    <xf numFmtId="0" fontId="13" fillId="2" borderId="1" xfId="0" applyFont="1" applyFill="1" applyBorder="1" applyAlignment="1" applyProtection="1">
      <alignment horizontal="center" vertical="center" readingOrder="1"/>
      <protection locked="0"/>
    </xf>
    <xf numFmtId="0" fontId="10" fillId="7" borderId="4" xfId="0" applyFont="1" applyFill="1" applyBorder="1" applyAlignment="1">
      <alignment horizontal="center" vertical="center" readingOrder="2"/>
    </xf>
    <xf numFmtId="0" fontId="10" fillId="7" borderId="5" xfId="0" applyFont="1" applyFill="1" applyBorder="1" applyAlignment="1">
      <alignment horizontal="center" vertical="center" readingOrder="2"/>
    </xf>
    <xf numFmtId="0" fontId="10" fillId="3" borderId="3" xfId="0" applyFont="1" applyFill="1" applyBorder="1" applyAlignment="1">
      <alignment horizontal="center" vertical="center" readingOrder="2"/>
    </xf>
    <xf numFmtId="0" fontId="10" fillId="10" borderId="4" xfId="0" applyFont="1" applyFill="1" applyBorder="1" applyAlignment="1">
      <alignment horizontal="center" vertical="center" readingOrder="2"/>
    </xf>
    <xf numFmtId="0" fontId="10" fillId="10" borderId="8" xfId="0" applyFont="1" applyFill="1" applyBorder="1" applyAlignment="1">
      <alignment horizontal="center" vertical="center" readingOrder="2"/>
    </xf>
    <xf numFmtId="0" fontId="10" fillId="10" borderId="5" xfId="0" applyFont="1" applyFill="1" applyBorder="1" applyAlignment="1">
      <alignment horizontal="center" vertical="center" readingOrder="2"/>
    </xf>
    <xf numFmtId="0" fontId="10" fillId="9" borderId="4" xfId="0" applyFont="1" applyFill="1" applyBorder="1" applyAlignment="1">
      <alignment horizontal="center" vertical="center" readingOrder="2"/>
    </xf>
    <xf numFmtId="0" fontId="10" fillId="9" borderId="8" xfId="0" applyFont="1" applyFill="1" applyBorder="1" applyAlignment="1">
      <alignment horizontal="center" vertical="center" readingOrder="2"/>
    </xf>
    <xf numFmtId="0" fontId="10" fillId="9" borderId="5" xfId="0" applyFont="1" applyFill="1" applyBorder="1" applyAlignment="1">
      <alignment horizontal="center" vertical="center" readingOrder="2"/>
    </xf>
    <xf numFmtId="0" fontId="10" fillId="9" borderId="4" xfId="0" applyFont="1" applyFill="1" applyBorder="1" applyAlignment="1">
      <alignment horizontal="center" vertical="center" wrapText="1" readingOrder="2"/>
    </xf>
    <xf numFmtId="0" fontId="10" fillId="9" borderId="5" xfId="0" applyFont="1" applyFill="1" applyBorder="1" applyAlignment="1">
      <alignment horizontal="center" vertical="center" wrapText="1" readingOrder="2"/>
    </xf>
    <xf numFmtId="0" fontId="10" fillId="3" borderId="4" xfId="0" applyFont="1" applyFill="1" applyBorder="1" applyAlignment="1">
      <alignment horizontal="center" vertical="center" readingOrder="2"/>
    </xf>
    <xf numFmtId="0" fontId="10" fillId="3" borderId="8" xfId="0" applyFont="1" applyFill="1" applyBorder="1" applyAlignment="1">
      <alignment horizontal="center" vertical="center" readingOrder="2"/>
    </xf>
    <xf numFmtId="0" fontId="10" fillId="3" borderId="5" xfId="0" applyFont="1" applyFill="1" applyBorder="1" applyAlignment="1">
      <alignment horizontal="center" vertical="center" readingOrder="2"/>
    </xf>
    <xf numFmtId="0" fontId="10" fillId="10" borderId="4" xfId="0" applyFont="1" applyFill="1" applyBorder="1" applyAlignment="1">
      <alignment horizontal="center" vertical="center" wrapText="1" readingOrder="2"/>
    </xf>
    <xf numFmtId="0" fontId="10" fillId="10" borderId="5" xfId="0" applyFont="1" applyFill="1" applyBorder="1" applyAlignment="1">
      <alignment horizontal="center" vertical="center" wrapText="1" readingOrder="2"/>
    </xf>
  </cellXfs>
  <cellStyles count="6">
    <cellStyle name="Comma" xfId="1" builtinId="3"/>
    <cellStyle name="Comma 2" xfId="5" xr:uid="{8F5F1FEF-5E0F-469E-8A62-5BAE3295A2FE}"/>
    <cellStyle name="Normal" xfId="0" builtinId="0"/>
    <cellStyle name="Normal 2" xfId="2" xr:uid="{C9AA4A4B-D8D4-4F03-BB98-1D7B45D36649}"/>
    <cellStyle name="Normal 3" xfId="4" xr:uid="{41534183-C152-4091-860C-8E6B8D3952D0}"/>
    <cellStyle name="عادي 2" xfId="3" xr:uid="{BE8CB1E9-5A68-4346-BD4A-6A3846D42CA2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5C55-465F-42CE-B625-13104C6159A5}">
  <dimension ref="A1:AM2"/>
  <sheetViews>
    <sheetView tabSelected="1" zoomScaleNormal="100" workbookViewId="0">
      <pane ySplit="1" topLeftCell="A2" activePane="bottomLeft" state="frozen"/>
      <selection activeCell="C1" sqref="C1"/>
      <selection pane="bottomLeft" activeCell="A3" sqref="A3:XFD1048574"/>
    </sheetView>
  </sheetViews>
  <sheetFormatPr defaultColWidth="22.44140625" defaultRowHeight="14.4" x14ac:dyDescent="0.3"/>
  <cols>
    <col min="1" max="1" width="22.109375" style="4" bestFit="1" customWidth="1"/>
    <col min="2" max="2" width="16.21875" style="9" bestFit="1" customWidth="1"/>
    <col min="3" max="3" width="13.77734375" style="4" bestFit="1" customWidth="1"/>
    <col min="4" max="4" width="13.88671875" style="4" bestFit="1" customWidth="1"/>
    <col min="5" max="5" width="15.6640625" style="4" bestFit="1" customWidth="1"/>
    <col min="6" max="6" width="50" style="4" bestFit="1" customWidth="1"/>
    <col min="7" max="7" width="15.5546875" style="4" bestFit="1" customWidth="1"/>
    <col min="8" max="8" width="15" style="4" bestFit="1" customWidth="1"/>
    <col min="9" max="9" width="24.109375" style="4" bestFit="1" customWidth="1"/>
    <col min="10" max="10" width="15.5546875" style="3" bestFit="1" customWidth="1"/>
    <col min="11" max="11" width="14.88671875" style="5" bestFit="1" customWidth="1"/>
    <col min="12" max="12" width="13.88671875" style="10" bestFit="1" customWidth="1"/>
    <col min="13" max="13" width="15.6640625" style="4" bestFit="1" customWidth="1"/>
    <col min="14" max="14" width="14.33203125" style="10" bestFit="1" customWidth="1"/>
    <col min="15" max="15" width="15.44140625" style="10" bestFit="1" customWidth="1"/>
    <col min="16" max="16" width="14.5546875" style="28" bestFit="1" customWidth="1"/>
    <col min="17" max="17" width="9" style="31" bestFit="1" customWidth="1"/>
    <col min="18" max="18" width="14.21875" style="28" bestFit="1" customWidth="1"/>
    <col min="19" max="19" width="9" style="10" bestFit="1" customWidth="1"/>
    <col min="20" max="20" width="13.88671875" style="33" bestFit="1" customWidth="1"/>
  </cols>
  <sheetData>
    <row r="1" spans="1:39" x14ac:dyDescent="0.3">
      <c r="A1" s="6" t="s">
        <v>28</v>
      </c>
      <c r="B1" s="8" t="s">
        <v>25</v>
      </c>
      <c r="C1" s="2" t="s">
        <v>26</v>
      </c>
      <c r="D1" s="2" t="s">
        <v>27</v>
      </c>
      <c r="E1" s="2" t="s">
        <v>21</v>
      </c>
      <c r="F1" s="2" t="s">
        <v>20</v>
      </c>
      <c r="G1" s="2" t="s">
        <v>19</v>
      </c>
      <c r="H1" s="2" t="s">
        <v>18</v>
      </c>
      <c r="I1" s="2" t="s">
        <v>0</v>
      </c>
      <c r="J1" s="2" t="s">
        <v>8</v>
      </c>
      <c r="K1" s="2" t="s">
        <v>59</v>
      </c>
      <c r="L1" s="2" t="s">
        <v>60</v>
      </c>
      <c r="M1" s="6" t="s">
        <v>61</v>
      </c>
      <c r="N1" s="2" t="s">
        <v>1</v>
      </c>
      <c r="O1" s="2" t="s">
        <v>62</v>
      </c>
      <c r="P1" s="32" t="s">
        <v>72</v>
      </c>
      <c r="Q1" s="34" t="s">
        <v>60</v>
      </c>
      <c r="R1" s="32" t="s">
        <v>71</v>
      </c>
      <c r="S1" s="32" t="s">
        <v>60</v>
      </c>
      <c r="T1" s="35" t="s">
        <v>73</v>
      </c>
    </row>
    <row r="2" spans="1:39" s="13" customFormat="1" x14ac:dyDescent="0.3">
      <c r="A2" s="4" t="s">
        <v>74</v>
      </c>
      <c r="B2" s="9">
        <v>4057.5</v>
      </c>
      <c r="C2" s="11" t="s">
        <v>63</v>
      </c>
      <c r="D2" s="4" t="s">
        <v>64</v>
      </c>
      <c r="E2" s="4" t="s">
        <v>24</v>
      </c>
      <c r="F2" s="11" t="s">
        <v>70</v>
      </c>
      <c r="G2" s="4" t="s">
        <v>68</v>
      </c>
      <c r="H2" s="4" t="s">
        <v>52</v>
      </c>
      <c r="I2" s="1" t="s">
        <v>12</v>
      </c>
      <c r="J2" s="12">
        <v>46201</v>
      </c>
      <c r="K2" s="3">
        <v>46201</v>
      </c>
      <c r="L2" s="10">
        <f t="shared" ref="L2" si="0">_xlfn.DAYS(K2,J2)</f>
        <v>0</v>
      </c>
      <c r="M2" s="4" t="s">
        <v>65</v>
      </c>
      <c r="N2" s="14" t="s">
        <v>66</v>
      </c>
      <c r="O2" s="15">
        <v>46222</v>
      </c>
      <c r="P2" s="27"/>
      <c r="Q2" s="30">
        <f t="shared" ref="Q2" ca="1" si="1">TODAY()-P2</f>
        <v>46264</v>
      </c>
      <c r="R2" s="29"/>
      <c r="S2" s="30">
        <f t="shared" ref="S2" ca="1" si="2">TODAY()-R2</f>
        <v>46264</v>
      </c>
      <c r="T2" s="33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</sheetData>
  <autoFilter ref="A1:N2" xr:uid="{AAF55C55-465F-42CE-B625-13104C6159A5}"/>
  <phoneticPr fontId="8" type="noConversion"/>
  <conditionalFormatting sqref="A2">
    <cfRule type="duplicateValues" dxfId="3" priority="4966"/>
    <cfRule type="duplicateValues" dxfId="2" priority="4967"/>
    <cfRule type="duplicateValues" dxfId="1" priority="4968"/>
  </conditionalFormatting>
  <conditionalFormatting sqref="A1 A3:A1048576">
    <cfRule type="duplicateValues" dxfId="0" priority="4969"/>
  </conditionalFormatting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C1DEC8-56CE-4F88-8C0D-0FBDA9DB09B9}">
          <x14:formula1>
            <xm:f>Sheet1!#REF!</xm:f>
          </x14:formula1>
          <xm:sqref>G1:I1 E1 E3:E1048576 G3:I1048576</xm:sqref>
        </x14:dataValidation>
        <x14:dataValidation type="list" allowBlank="1" showInputMessage="1" showErrorMessage="1" xr:uid="{C5F0708F-6E0E-427E-80B4-8020AC191FEF}">
          <x14:formula1>
            <xm:f>Sheet1!$B$2:$B$23</xm:f>
          </x14:formula1>
          <xm:sqref>F1 F3:F1048576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4EB8-4012-484A-8565-B3562F2F51C4}">
  <dimension ref="A1:I23"/>
  <sheetViews>
    <sheetView zoomScale="90" zoomScaleNormal="90" workbookViewId="0">
      <selection activeCell="D2" sqref="D2:D14"/>
    </sheetView>
  </sheetViews>
  <sheetFormatPr defaultRowHeight="14.4" x14ac:dyDescent="0.3"/>
  <cols>
    <col min="1" max="1" width="12" bestFit="1" customWidth="1"/>
    <col min="2" max="2" width="116" bestFit="1" customWidth="1"/>
    <col min="3" max="3" width="14.44140625" bestFit="1" customWidth="1"/>
    <col min="4" max="4" width="11.6640625" bestFit="1" customWidth="1"/>
    <col min="9" max="9" width="23.88671875" bestFit="1" customWidth="1"/>
  </cols>
  <sheetData>
    <row r="1" spans="1:9" ht="16.2" thickBot="1" x14ac:dyDescent="0.35">
      <c r="A1" s="16" t="s">
        <v>21</v>
      </c>
      <c r="B1" s="16" t="s">
        <v>20</v>
      </c>
      <c r="C1" s="16" t="s">
        <v>19</v>
      </c>
      <c r="D1" s="16" t="s">
        <v>18</v>
      </c>
    </row>
    <row r="2" spans="1:9" ht="16.2" thickBot="1" x14ac:dyDescent="0.35">
      <c r="A2" s="17" t="s">
        <v>22</v>
      </c>
      <c r="B2" s="18" t="s">
        <v>29</v>
      </c>
      <c r="C2" s="39" t="s">
        <v>53</v>
      </c>
      <c r="D2" s="39" t="s">
        <v>52</v>
      </c>
    </row>
    <row r="3" spans="1:9" ht="16.2" thickBot="1" x14ac:dyDescent="0.35">
      <c r="A3" s="19" t="s">
        <v>23</v>
      </c>
      <c r="B3" s="18" t="s">
        <v>30</v>
      </c>
      <c r="C3" s="40"/>
      <c r="D3" s="40"/>
    </row>
    <row r="4" spans="1:9" ht="16.2" thickBot="1" x14ac:dyDescent="0.35">
      <c r="A4" s="20" t="s">
        <v>24</v>
      </c>
      <c r="B4" s="18" t="s">
        <v>31</v>
      </c>
      <c r="C4" s="40"/>
      <c r="D4" s="40"/>
    </row>
    <row r="5" spans="1:9" ht="16.2" thickBot="1" x14ac:dyDescent="0.35">
      <c r="A5" s="19" t="s">
        <v>23</v>
      </c>
      <c r="B5" s="18" t="s">
        <v>32</v>
      </c>
      <c r="C5" s="41"/>
      <c r="D5" s="40"/>
    </row>
    <row r="6" spans="1:9" ht="16.2" thickBot="1" x14ac:dyDescent="0.35">
      <c r="A6" s="19" t="s">
        <v>23</v>
      </c>
      <c r="B6" s="21" t="s">
        <v>33</v>
      </c>
      <c r="C6" s="47" t="s">
        <v>67</v>
      </c>
      <c r="D6" s="40"/>
      <c r="I6" s="1" t="s">
        <v>12</v>
      </c>
    </row>
    <row r="7" spans="1:9" ht="16.2" thickBot="1" x14ac:dyDescent="0.35">
      <c r="A7" s="19" t="s">
        <v>23</v>
      </c>
      <c r="B7" s="21" t="s">
        <v>34</v>
      </c>
      <c r="C7" s="48"/>
      <c r="D7" s="40"/>
      <c r="I7" s="1" t="s">
        <v>5</v>
      </c>
    </row>
    <row r="8" spans="1:9" ht="15" customHeight="1" thickBot="1" x14ac:dyDescent="0.35">
      <c r="A8" s="36" t="s">
        <v>23</v>
      </c>
      <c r="B8" s="38" t="s">
        <v>35</v>
      </c>
      <c r="C8" s="48"/>
      <c r="D8" s="40"/>
      <c r="I8" s="1" t="s">
        <v>3</v>
      </c>
    </row>
    <row r="9" spans="1:9" ht="15" customHeight="1" thickBot="1" x14ac:dyDescent="0.35">
      <c r="A9" s="37"/>
      <c r="B9" s="38"/>
      <c r="C9" s="49"/>
      <c r="D9" s="40"/>
      <c r="I9" s="1" t="s">
        <v>11</v>
      </c>
    </row>
    <row r="10" spans="1:9" ht="16.2" thickBot="1" x14ac:dyDescent="0.35">
      <c r="A10" s="20" t="s">
        <v>24</v>
      </c>
      <c r="B10" s="18" t="s">
        <v>36</v>
      </c>
      <c r="C10" s="39" t="s">
        <v>68</v>
      </c>
      <c r="D10" s="40"/>
      <c r="I10" s="1" t="s">
        <v>6</v>
      </c>
    </row>
    <row r="11" spans="1:9" ht="16.2" thickBot="1" x14ac:dyDescent="0.35">
      <c r="A11" s="20" t="s">
        <v>24</v>
      </c>
      <c r="B11" s="18" t="s">
        <v>37</v>
      </c>
      <c r="C11" s="40"/>
      <c r="D11" s="40"/>
      <c r="I11" s="1" t="s">
        <v>7</v>
      </c>
    </row>
    <row r="12" spans="1:9" ht="16.2" thickBot="1" x14ac:dyDescent="0.35">
      <c r="A12" s="20" t="s">
        <v>24</v>
      </c>
      <c r="B12" s="18" t="s">
        <v>38</v>
      </c>
      <c r="C12" s="40"/>
      <c r="D12" s="40"/>
      <c r="I12" s="1" t="s">
        <v>9</v>
      </c>
    </row>
    <row r="13" spans="1:9" ht="16.2" thickBot="1" x14ac:dyDescent="0.35">
      <c r="A13" s="20" t="s">
        <v>24</v>
      </c>
      <c r="B13" s="18" t="s">
        <v>39</v>
      </c>
      <c r="C13" s="40"/>
      <c r="D13" s="40"/>
      <c r="I13" s="1" t="s">
        <v>14</v>
      </c>
    </row>
    <row r="14" spans="1:9" ht="15.6" customHeight="1" thickBot="1" x14ac:dyDescent="0.35">
      <c r="A14" s="20" t="s">
        <v>24</v>
      </c>
      <c r="B14" s="18" t="s">
        <v>40</v>
      </c>
      <c r="C14" s="41"/>
      <c r="D14" s="41"/>
      <c r="I14" s="1" t="s">
        <v>10</v>
      </c>
    </row>
    <row r="15" spans="1:9" ht="16.2" thickBot="1" x14ac:dyDescent="0.35">
      <c r="A15" s="20" t="s">
        <v>24</v>
      </c>
      <c r="B15" s="22" t="s">
        <v>41</v>
      </c>
      <c r="C15" s="42" t="s">
        <v>69</v>
      </c>
      <c r="D15" s="42" t="s">
        <v>51</v>
      </c>
      <c r="I15" s="1" t="s">
        <v>4</v>
      </c>
    </row>
    <row r="16" spans="1:9" ht="16.2" thickBot="1" x14ac:dyDescent="0.35">
      <c r="A16" s="20" t="s">
        <v>24</v>
      </c>
      <c r="B16" s="22" t="s">
        <v>42</v>
      </c>
      <c r="C16" s="43"/>
      <c r="D16" s="43"/>
      <c r="I16" s="1" t="s">
        <v>15</v>
      </c>
    </row>
    <row r="17" spans="1:9" ht="16.2" thickBot="1" x14ac:dyDescent="0.35">
      <c r="A17" s="23" t="s">
        <v>24</v>
      </c>
      <c r="B17" s="22" t="s">
        <v>43</v>
      </c>
      <c r="C17" s="43"/>
      <c r="D17" s="43"/>
      <c r="I17" s="1" t="s">
        <v>58</v>
      </c>
    </row>
    <row r="18" spans="1:9" ht="16.2" thickBot="1" x14ac:dyDescent="0.35">
      <c r="A18" s="23" t="s">
        <v>24</v>
      </c>
      <c r="B18" s="22" t="s">
        <v>44</v>
      </c>
      <c r="C18" s="44"/>
      <c r="D18" s="43"/>
      <c r="I18" s="1" t="s">
        <v>57</v>
      </c>
    </row>
    <row r="19" spans="1:9" ht="16.2" thickBot="1" x14ac:dyDescent="0.35">
      <c r="A19" s="23" t="s">
        <v>24</v>
      </c>
      <c r="B19" s="24" t="s">
        <v>45</v>
      </c>
      <c r="C19" s="45" t="s">
        <v>50</v>
      </c>
      <c r="D19" s="43"/>
      <c r="I19" s="1" t="s">
        <v>13</v>
      </c>
    </row>
    <row r="20" spans="1:9" ht="16.2" thickBot="1" x14ac:dyDescent="0.35">
      <c r="A20" s="23" t="s">
        <v>24</v>
      </c>
      <c r="B20" s="24" t="s">
        <v>46</v>
      </c>
      <c r="C20" s="46"/>
      <c r="D20" s="43"/>
      <c r="I20" s="1" t="s">
        <v>2</v>
      </c>
    </row>
    <row r="21" spans="1:9" ht="16.2" thickBot="1" x14ac:dyDescent="0.35">
      <c r="A21" s="25" t="s">
        <v>23</v>
      </c>
      <c r="B21" s="24" t="s">
        <v>47</v>
      </c>
      <c r="C21" s="7" t="s">
        <v>54</v>
      </c>
      <c r="D21" s="44"/>
      <c r="I21" s="1" t="s">
        <v>17</v>
      </c>
    </row>
    <row r="22" spans="1:9" ht="31.8" thickBot="1" x14ac:dyDescent="0.35">
      <c r="A22" s="23" t="s">
        <v>24</v>
      </c>
      <c r="B22" s="26" t="s">
        <v>48</v>
      </c>
      <c r="C22" s="50" t="s">
        <v>56</v>
      </c>
      <c r="D22" s="50" t="s">
        <v>55</v>
      </c>
      <c r="I22" s="1" t="s">
        <v>16</v>
      </c>
    </row>
    <row r="23" spans="1:9" ht="16.2" thickBot="1" x14ac:dyDescent="0.35">
      <c r="A23" s="23" t="s">
        <v>24</v>
      </c>
      <c r="B23" s="26" t="s">
        <v>49</v>
      </c>
      <c r="C23" s="51"/>
      <c r="D23" s="51"/>
    </row>
  </sheetData>
  <mergeCells count="11">
    <mergeCell ref="C2:C5"/>
    <mergeCell ref="C6:C9"/>
    <mergeCell ref="C22:C23"/>
    <mergeCell ref="D22:D23"/>
    <mergeCell ref="D2:D14"/>
    <mergeCell ref="A8:A9"/>
    <mergeCell ref="B8:B9"/>
    <mergeCell ref="C10:C14"/>
    <mergeCell ref="C15:C18"/>
    <mergeCell ref="D15:D21"/>
    <mergeCell ref="C19:C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b:BindingInformation xmlns:xsi="http://www.w3.org/2001/XMLSchema-instance" xmlns:xsd="http://www.w3.org/2001/XMLSchema" xmlns:mb="urn:nato:stanag:4778:bindinginformation:1:0" xmlns:xmime="http://www.w3.org/2005/05/xmlmime">
  <mb:MetadataBindingContainer>
    <mb:MetadataBinding>
      <mb:Metadata>
        <slab:originatorConfidentialityLabel xmlns:slab="urn:nato:stanag:4774:confidentialitymetadatalabel:1:0">
          <slab:ConfidentialityInformation ReviewDateTime="2100-01-01T00:00:00.0000000">
            <slab:PolicyIdentifier>ASIC_Default_Policy</slab:PolicyIdentifier>
            <slab:Classification>PUBLIC</slab:Classification>
          </slab:ConfidentialityInformation>
          <slab:CreationDateTime>2025-08-20T07:47:23.8062097+03:00</slab:CreationDateTime>
        </slab:originatorConfidentialityLabel>
      </mb:Metadata>
      <mb:DataReference URI=""/>
    </mb:MetadataBinding>
  </mb:MetadataBindingContainer>
</mb:BindingInformation>
</file>

<file path=customXml/itemProps1.xml><?xml version="1.0" encoding="utf-8"?>
<ds:datastoreItem xmlns:ds="http://schemas.openxmlformats.org/officeDocument/2006/customXml" ds:itemID="{1486A355-842F-4E1E-B0F8-8C70A31EBCB5}">
  <ds:schemaRefs>
    <ds:schemaRef ds:uri="http://www.w3.org/2001/XMLSchema"/>
    <ds:schemaRef ds:uri="urn:nato:stanag:4778:bindinginformation:1:0"/>
    <ds:schemaRef ds:uri="http://www.w3.org/2005/05/xmlmime"/>
    <ds:schemaRef ds:uri="urn:nato:stanag:4774:confidentialitymetadatalabel:1: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معلق تصعيد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Mohammed Almughirah</dc:creator>
  <cp:lastModifiedBy>Hani Elbahri</cp:lastModifiedBy>
  <cp:lastPrinted>2025-11-03T06:12:29Z</cp:lastPrinted>
  <dcterms:created xsi:type="dcterms:W3CDTF">2015-06-05T18:17:20Z</dcterms:created>
  <dcterms:modified xsi:type="dcterms:W3CDTF">2026-08-30T11:40:24Z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optech_LoopMarkCATEGORY">
    <vt:lpwstr>PUBLIC</vt:lpwstr>
  </property>
  <property fmtid="{D5CDD505-2E9C-101B-9397-08002B2CF9AE}" pid="3" name="Looptech_LoopMarkClassifiedBy">
    <vt:lpwstr>UxC4dwLulzfINJ8nQH+xvX5LNGipWa4BRSZhPgxsCvmSe4F2Jdepbbpg7SZ02vPL7CC48jkcIuBsKMB/DJSudcgWfS5tsUxxrd1SYGocaL8=</vt:lpwstr>
  </property>
  <property fmtid="{D5CDD505-2E9C-101B-9397-08002B2CF9AE}" pid="4" name="Looptech_LoopMarkClassificationDate">
    <vt:lpwstr>2025-08-20T07:47:23.8062097+03:00</vt:lpwstr>
  </property>
  <property fmtid="{D5CDD505-2E9C-101B-9397-08002B2CF9AE}" pid="5" name="Looptech_LoopMarkClassifiedBySID">
    <vt:lpwstr>UxC4dwLulzfINJ8nQH+xvX5LNGipWa4BRSZhPgxsCvmAr0SlUru0sq3n5Lklv9sNCIldiTObfy9ix8tLmoGVcDLBC3tgQaIwkTT7Z/a6wzyxGy+bP5cvpfLIOXqzh/0l</vt:lpwstr>
  </property>
  <property fmtid="{D5CDD505-2E9C-101B-9397-08002B2CF9AE}" pid="6" name="Looptech_LoopMarkGRNItemId">
    <vt:lpwstr>GRN-ab41fc9e-baa2-4d73-8f59-b5eaf7bf062b</vt:lpwstr>
  </property>
  <property fmtid="{D5CDD505-2E9C-101B-9397-08002B2CF9AE}" pid="7" name="Looptech_LoopMarkHash">
    <vt:lpwstr>Uf8cflUtjM9YzDYV362jIwqIwT7jfvbJF1gDeCz1ITA=</vt:lpwstr>
  </property>
  <property fmtid="{D5CDD505-2E9C-101B-9397-08002B2CF9AE}" pid="8" name="Looptech_LoopMarkVisualMarkingsSettings">
    <vt:lpwstr>HeaderAlignment=1;FooterAlignment=1</vt:lpwstr>
  </property>
  <property fmtid="{D5CDD505-2E9C-101B-9397-08002B2CF9AE}" pid="9" name="Looptech_LoopMarkRefresh">
    <vt:lpwstr>False</vt:lpwstr>
  </property>
</Properties>
</file>